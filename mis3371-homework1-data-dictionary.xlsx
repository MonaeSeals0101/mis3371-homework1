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0"/>
  <workbookPr/>
  <xr:revisionPtr revIDLastSave="0" documentId="8_{3D1F430A-BFE6-480A-9462-9EC295C81532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Info " sheetId="1" r:id="rId1"/>
    <sheet name="users" sheetId="2" r:id="rId2"/>
    <sheet name="session" sheetId="3" r:id="rId3"/>
    <sheet name="changes" sheetId="4" r:id="rId4"/>
    <sheet name="transactions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4" l="1"/>
  <c r="A8" i="4" s="1"/>
  <c r="A9" i="4" s="1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</calcChain>
</file>

<file path=xl/sharedStrings.xml><?xml version="1.0" encoding="utf-8"?>
<sst xmlns="http://schemas.openxmlformats.org/spreadsheetml/2006/main" count="233" uniqueCount="112">
  <si>
    <t>MIS 3371/7375 Data Dictionary</t>
  </si>
  <si>
    <t>Table Name</t>
  </si>
  <si>
    <t>users</t>
  </si>
  <si>
    <t>version</t>
  </si>
  <si>
    <t>Date created</t>
  </si>
  <si>
    <t>Date Modified</t>
  </si>
  <si>
    <t>Description</t>
  </si>
  <si>
    <t>This is the table that stores the user data</t>
  </si>
  <si>
    <t>Author</t>
  </si>
  <si>
    <t>jake Messinger</t>
  </si>
  <si>
    <t>Sequence</t>
  </si>
  <si>
    <t>varname</t>
  </si>
  <si>
    <t>type</t>
  </si>
  <si>
    <t>size</t>
  </si>
  <si>
    <t>required</t>
  </si>
  <si>
    <t>permission s=system, u=user</t>
  </si>
  <si>
    <t>description</t>
  </si>
  <si>
    <t>key</t>
  </si>
  <si>
    <t>pattern/regex</t>
  </si>
  <si>
    <t>minsize/value</t>
  </si>
  <si>
    <t>default</t>
  </si>
  <si>
    <t>date_created</t>
  </si>
  <si>
    <t>TIMESTAMP</t>
  </si>
  <si>
    <t>s</t>
  </si>
  <si>
    <t>date row was created</t>
  </si>
  <si>
    <t>YYYYMMDDHHMMSS</t>
  </si>
  <si>
    <t>date_modified</t>
  </si>
  <si>
    <t>date row was last modfied</t>
  </si>
  <si>
    <t>date_accessed</t>
  </si>
  <si>
    <t>date row was last querried</t>
  </si>
  <si>
    <t>date_inactive</t>
  </si>
  <si>
    <t>date row was made inactive/deleted</t>
  </si>
  <si>
    <t>usertype</t>
  </si>
  <si>
    <t>string / VARCHAR</t>
  </si>
  <si>
    <t>user type, aka a=admin, u=user, e=employee, w=web</t>
  </si>
  <si>
    <t>foreign</t>
  </si>
  <si>
    <t>status</t>
  </si>
  <si>
    <t>string</t>
  </si>
  <si>
    <t>n</t>
  </si>
  <si>
    <t>aka a=active,s=suspended,d=delinquent,i=inactive</t>
  </si>
  <si>
    <t>firstname</t>
  </si>
  <si>
    <t>y</t>
  </si>
  <si>
    <t>u</t>
  </si>
  <si>
    <t>First Name</t>
  </si>
  <si>
    <t>middleinit</t>
  </si>
  <si>
    <t>Middle Initial</t>
  </si>
  <si>
    <t>lastname</t>
  </si>
  <si>
    <t>Last Name</t>
  </si>
  <si>
    <t>addr1</t>
  </si>
  <si>
    <t>Address line 1</t>
  </si>
  <si>
    <t>addr2</t>
  </si>
  <si>
    <t>Optional address line 2</t>
  </si>
  <si>
    <t>city</t>
  </si>
  <si>
    <t>City</t>
  </si>
  <si>
    <t>state</t>
  </si>
  <si>
    <t>State Code</t>
  </si>
  <si>
    <t>Zip</t>
  </si>
  <si>
    <t>phone1</t>
  </si>
  <si>
    <t>Phone number</t>
  </si>
  <si>
    <t>NXXNXXXXXX</t>
  </si>
  <si>
    <t>email</t>
  </si>
  <si>
    <t>Email address</t>
  </si>
  <si>
    <t>userid</t>
  </si>
  <si>
    <t>user id</t>
  </si>
  <si>
    <t>primary</t>
  </si>
  <si>
    <t>"[A-Za-z]+[A-Za-z0-9-_]{8,}"</t>
  </si>
  <si>
    <t>password</t>
  </si>
  <si>
    <t>plaintext password. Do not store actual password. This is a placeholder</t>
  </si>
  <si>
    <t xml:space="preserve">"(?=.*\d)(?=.*[a-z])(?=.*[A-Z]).{8,}" </t>
  </si>
  <si>
    <t>password_hashed</t>
  </si>
  <si>
    <t>hashed password</t>
  </si>
  <si>
    <t>storage</t>
  </si>
  <si>
    <t>Need Storage? N=no or not indicated, Y=yes</t>
  </si>
  <si>
    <t>space_needed</t>
  </si>
  <si>
    <t>INT</t>
  </si>
  <si>
    <t>1=standard, 2=extended, 3=doublewide</t>
  </si>
  <si>
    <t>movein_date</t>
  </si>
  <si>
    <t>date</t>
  </si>
  <si>
    <t>Date of desired move in</t>
  </si>
  <si>
    <t>YYYYMMDD</t>
  </si>
  <si>
    <t>budget</t>
  </si>
  <si>
    <t>currency</t>
  </si>
  <si>
    <t>+000000000.00</t>
  </si>
  <si>
    <t>about</t>
  </si>
  <si>
    <t>tell us about yourself</t>
  </si>
  <si>
    <t>passwd_date</t>
  </si>
  <si>
    <t>date pw was changed</t>
  </si>
  <si>
    <t>Vaccinated</t>
  </si>
  <si>
    <t>Boolean</t>
  </si>
  <si>
    <t>0=no,1=yes</t>
  </si>
  <si>
    <t>Session table</t>
  </si>
  <si>
    <t>Method D=drerived, u=user</t>
  </si>
  <si>
    <t>session-token</t>
  </si>
  <si>
    <t>login-time</t>
  </si>
  <si>
    <t>datetime</t>
  </si>
  <si>
    <t>last-access</t>
  </si>
  <si>
    <t>login-location</t>
  </si>
  <si>
    <t>ip address they are logged in from</t>
  </si>
  <si>
    <t>Changes made to the user record</t>
  </si>
  <si>
    <t>sequence</t>
  </si>
  <si>
    <t>num</t>
  </si>
  <si>
    <t>incremental sequence #</t>
  </si>
  <si>
    <t>foreign key of the user that was changed</t>
  </si>
  <si>
    <t>date_time</t>
  </si>
  <si>
    <t>datetime data was chanaged</t>
  </si>
  <si>
    <t>fieldname</t>
  </si>
  <si>
    <t>name of form element that was changed</t>
  </si>
  <si>
    <t>olddata</t>
  </si>
  <si>
    <t>old data</t>
  </si>
  <si>
    <t>whochanged</t>
  </si>
  <si>
    <t>user id of who changed the data</t>
  </si>
  <si>
    <t>This is where accounting transactions are described.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</si>
</sst>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quotePrefix="1" applyAlignment="1">
      <alignment vertical="top"/>
    </xf>
    <xf numFmtId="0" fontId="0" fillId="0" borderId="0" xfId="0" quotePrefix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workbookViewId="0">
      <selection activeCell="B11" sqref="B11"/>
    </sheetView>
  </sheetViews>
  <sheetFormatPr defaultRowHeight="15"/>
  <cols>
    <col min="1" max="1" width="27.42578125" bestFit="1" customWidth="1"/>
    <col min="2" max="2" width="14.28515625" customWidth="1"/>
  </cols>
  <sheetData>
    <row r="1" spans="1:4">
      <c r="A1" t="s">
        <v>0</v>
      </c>
    </row>
    <row r="3" spans="1:4">
      <c r="A3" t="s">
        <v>1</v>
      </c>
      <c r="B3" t="s">
        <v>2</v>
      </c>
      <c r="C3" t="s">
        <v>3</v>
      </c>
      <c r="D3" s="5">
        <v>1.1000000000000001</v>
      </c>
    </row>
    <row r="4" spans="1:4">
      <c r="A4" t="s">
        <v>4</v>
      </c>
      <c r="B4" s="1">
        <v>45343</v>
      </c>
    </row>
    <row r="5" spans="1:4">
      <c r="A5" t="s">
        <v>5</v>
      </c>
      <c r="B5" s="1">
        <v>45684</v>
      </c>
    </row>
    <row r="6" spans="1:4">
      <c r="A6" t="s">
        <v>6</v>
      </c>
      <c r="B6" t="s">
        <v>7</v>
      </c>
    </row>
    <row r="7" spans="1:4">
      <c r="A7" t="s">
        <v>8</v>
      </c>
      <c r="B7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EECC1-0268-4345-B1C2-FDD239BC308B}">
  <dimension ref="A1:K29"/>
  <sheetViews>
    <sheetView tabSelected="1" workbookViewId="0">
      <selection activeCell="C7" sqref="C7"/>
    </sheetView>
  </sheetViews>
  <sheetFormatPr defaultRowHeight="15"/>
  <cols>
    <col min="1" max="1" width="17.28515625" customWidth="1"/>
    <col min="2" max="2" width="16.42578125" customWidth="1"/>
    <col min="3" max="3" width="18" customWidth="1"/>
    <col min="6" max="6" width="10.7109375" customWidth="1"/>
    <col min="7" max="7" width="45.5703125" customWidth="1"/>
    <col min="9" max="9" width="30.5703125" customWidth="1"/>
    <col min="10" max="10" width="13.42578125" customWidth="1"/>
  </cols>
  <sheetData>
    <row r="1" spans="1:11" s="6" customFormat="1" ht="57.75">
      <c r="A1" s="6" t="s">
        <v>10</v>
      </c>
      <c r="B1" s="6" t="s">
        <v>11</v>
      </c>
      <c r="C1" s="6" t="s">
        <v>12</v>
      </c>
      <c r="D1" s="6" t="s">
        <v>13</v>
      </c>
      <c r="E1" s="6" t="s">
        <v>14</v>
      </c>
      <c r="F1" s="7" t="s">
        <v>15</v>
      </c>
      <c r="G1" s="6" t="s">
        <v>16</v>
      </c>
      <c r="H1" s="6" t="s">
        <v>17</v>
      </c>
      <c r="I1" s="6" t="s">
        <v>18</v>
      </c>
      <c r="J1" s="6" t="s">
        <v>19</v>
      </c>
      <c r="K1" s="6" t="s">
        <v>20</v>
      </c>
    </row>
    <row r="2" spans="1:11" s="2" customFormat="1">
      <c r="A2" s="2">
        <v>1</v>
      </c>
      <c r="B2" s="2" t="s">
        <v>21</v>
      </c>
      <c r="C2" s="2" t="s">
        <v>22</v>
      </c>
      <c r="D2" s="2">
        <v>20</v>
      </c>
      <c r="E2" s="2" t="s">
        <v>23</v>
      </c>
      <c r="F2" s="2" t="s">
        <v>23</v>
      </c>
      <c r="G2" s="2" t="s">
        <v>24</v>
      </c>
      <c r="I2" s="2" t="s">
        <v>25</v>
      </c>
    </row>
    <row r="3" spans="1:11" s="2" customFormat="1">
      <c r="A3" s="2">
        <f>A2+1</f>
        <v>2</v>
      </c>
      <c r="B3" s="2" t="s">
        <v>26</v>
      </c>
      <c r="C3" s="2" t="s">
        <v>22</v>
      </c>
      <c r="D3" s="2">
        <v>20</v>
      </c>
      <c r="E3" s="2" t="s">
        <v>23</v>
      </c>
      <c r="F3" s="2" t="s">
        <v>23</v>
      </c>
      <c r="G3" s="2" t="s">
        <v>27</v>
      </c>
      <c r="I3" s="2" t="s">
        <v>25</v>
      </c>
    </row>
    <row r="4" spans="1:11" s="2" customFormat="1">
      <c r="A4" s="2">
        <f t="shared" ref="A4:A25" si="0">A3+1</f>
        <v>3</v>
      </c>
      <c r="B4" s="2" t="s">
        <v>28</v>
      </c>
      <c r="C4" s="2" t="s">
        <v>22</v>
      </c>
      <c r="D4" s="2">
        <v>20</v>
      </c>
      <c r="E4" s="2" t="s">
        <v>23</v>
      </c>
      <c r="F4" s="2" t="s">
        <v>23</v>
      </c>
      <c r="G4" s="2" t="s">
        <v>29</v>
      </c>
      <c r="I4" s="2" t="s">
        <v>25</v>
      </c>
    </row>
    <row r="5" spans="1:11" s="2" customFormat="1">
      <c r="A5" s="2">
        <f t="shared" si="0"/>
        <v>4</v>
      </c>
      <c r="B5" s="2" t="s">
        <v>30</v>
      </c>
      <c r="C5" s="2" t="s">
        <v>22</v>
      </c>
      <c r="D5" s="2">
        <v>20</v>
      </c>
      <c r="E5" s="2" t="s">
        <v>23</v>
      </c>
      <c r="F5" s="2" t="s">
        <v>23</v>
      </c>
      <c r="G5" s="2" t="s">
        <v>31</v>
      </c>
      <c r="I5" s="2" t="s">
        <v>25</v>
      </c>
    </row>
    <row r="6" spans="1:11" s="2" customFormat="1">
      <c r="A6" s="2">
        <f t="shared" si="0"/>
        <v>5</v>
      </c>
      <c r="B6" s="2" t="s">
        <v>32</v>
      </c>
      <c r="C6" s="2" t="s">
        <v>33</v>
      </c>
      <c r="D6" s="2">
        <v>1</v>
      </c>
      <c r="F6" s="2" t="s">
        <v>23</v>
      </c>
      <c r="G6" s="2" t="s">
        <v>34</v>
      </c>
      <c r="H6" s="2" t="s">
        <v>35</v>
      </c>
      <c r="J6" s="2">
        <v>1</v>
      </c>
    </row>
    <row r="7" spans="1:11" s="2" customFormat="1">
      <c r="A7" s="2">
        <f t="shared" si="0"/>
        <v>6</v>
      </c>
      <c r="B7" s="2" t="s">
        <v>36</v>
      </c>
      <c r="C7" s="2" t="s">
        <v>37</v>
      </c>
      <c r="D7" s="2">
        <v>1</v>
      </c>
      <c r="E7" s="2" t="s">
        <v>38</v>
      </c>
      <c r="F7" s="2" t="s">
        <v>23</v>
      </c>
      <c r="G7" s="2" t="s">
        <v>39</v>
      </c>
      <c r="H7" s="2" t="s">
        <v>35</v>
      </c>
    </row>
    <row r="8" spans="1:11" s="2" customFormat="1">
      <c r="A8" s="2">
        <f t="shared" si="0"/>
        <v>7</v>
      </c>
      <c r="B8" s="2" t="s">
        <v>40</v>
      </c>
      <c r="C8" s="2" t="s">
        <v>37</v>
      </c>
      <c r="D8" s="2">
        <v>30</v>
      </c>
      <c r="E8" s="2" t="s">
        <v>41</v>
      </c>
      <c r="F8" s="2" t="s">
        <v>42</v>
      </c>
      <c r="G8" s="2" t="s">
        <v>43</v>
      </c>
      <c r="J8" s="2">
        <v>2</v>
      </c>
    </row>
    <row r="9" spans="1:11" s="2" customFormat="1">
      <c r="A9" s="2">
        <f t="shared" si="0"/>
        <v>8</v>
      </c>
      <c r="B9" s="2" t="s">
        <v>44</v>
      </c>
      <c r="C9" s="2" t="s">
        <v>37</v>
      </c>
      <c r="D9" s="2">
        <v>1</v>
      </c>
      <c r="E9" s="2" t="s">
        <v>38</v>
      </c>
      <c r="F9" s="2" t="s">
        <v>42</v>
      </c>
      <c r="G9" s="2" t="s">
        <v>45</v>
      </c>
      <c r="J9" s="2">
        <v>0</v>
      </c>
    </row>
    <row r="10" spans="1:11" s="2" customFormat="1">
      <c r="A10" s="2">
        <f t="shared" si="0"/>
        <v>9</v>
      </c>
      <c r="B10" s="2" t="s">
        <v>46</v>
      </c>
      <c r="C10" s="2" t="s">
        <v>37</v>
      </c>
      <c r="D10" s="2">
        <v>30</v>
      </c>
      <c r="E10" s="2" t="s">
        <v>41</v>
      </c>
      <c r="F10" s="2" t="s">
        <v>42</v>
      </c>
      <c r="G10" s="2" t="s">
        <v>47</v>
      </c>
      <c r="J10" s="2">
        <v>2</v>
      </c>
    </row>
    <row r="11" spans="1:11" s="2" customFormat="1">
      <c r="A11" s="2">
        <f t="shared" si="0"/>
        <v>10</v>
      </c>
      <c r="B11" s="2" t="s">
        <v>48</v>
      </c>
      <c r="C11" s="2" t="s">
        <v>37</v>
      </c>
      <c r="D11" s="2">
        <v>30</v>
      </c>
      <c r="E11" s="2" t="s">
        <v>41</v>
      </c>
      <c r="F11" s="2" t="s">
        <v>42</v>
      </c>
      <c r="G11" s="2" t="s">
        <v>49</v>
      </c>
      <c r="J11" s="2">
        <v>5</v>
      </c>
    </row>
    <row r="12" spans="1:11" s="2" customFormat="1">
      <c r="A12" s="2">
        <f t="shared" si="0"/>
        <v>11</v>
      </c>
      <c r="B12" s="2" t="s">
        <v>50</v>
      </c>
      <c r="C12" s="2" t="s">
        <v>37</v>
      </c>
      <c r="D12" s="2">
        <v>30</v>
      </c>
      <c r="E12" s="2" t="s">
        <v>38</v>
      </c>
      <c r="F12" s="2" t="s">
        <v>42</v>
      </c>
      <c r="G12" s="2" t="s">
        <v>51</v>
      </c>
    </row>
    <row r="13" spans="1:11" s="2" customFormat="1">
      <c r="A13" s="2">
        <f t="shared" si="0"/>
        <v>12</v>
      </c>
      <c r="B13" s="2" t="s">
        <v>52</v>
      </c>
      <c r="C13" s="2" t="s">
        <v>37</v>
      </c>
      <c r="D13" s="2">
        <v>30</v>
      </c>
      <c r="E13" s="2" t="s">
        <v>41</v>
      </c>
      <c r="F13" s="2" t="s">
        <v>42</v>
      </c>
      <c r="G13" s="2" t="s">
        <v>53</v>
      </c>
      <c r="J13" s="2">
        <v>2</v>
      </c>
    </row>
    <row r="14" spans="1:11" s="2" customFormat="1">
      <c r="A14" s="2">
        <f t="shared" si="0"/>
        <v>13</v>
      </c>
      <c r="B14" s="2" t="s">
        <v>54</v>
      </c>
      <c r="C14" s="2" t="s">
        <v>37</v>
      </c>
      <c r="D14" s="2">
        <v>2</v>
      </c>
      <c r="E14" s="2" t="s">
        <v>41</v>
      </c>
      <c r="F14" s="2" t="s">
        <v>42</v>
      </c>
      <c r="G14" s="2" t="s">
        <v>55</v>
      </c>
      <c r="J14" s="2">
        <v>2</v>
      </c>
    </row>
    <row r="15" spans="1:11" s="2" customFormat="1">
      <c r="A15" s="2">
        <f t="shared" si="0"/>
        <v>14</v>
      </c>
      <c r="B15" s="2" t="s">
        <v>56</v>
      </c>
      <c r="C15" s="2" t="s">
        <v>37</v>
      </c>
      <c r="D15" s="2">
        <v>5</v>
      </c>
      <c r="E15" s="2" t="s">
        <v>41</v>
      </c>
      <c r="F15" s="2" t="s">
        <v>42</v>
      </c>
      <c r="G15" s="2" t="s">
        <v>56</v>
      </c>
      <c r="J15" s="2">
        <v>5</v>
      </c>
    </row>
    <row r="16" spans="1:11" s="2" customFormat="1">
      <c r="A16" s="2">
        <f t="shared" si="0"/>
        <v>15</v>
      </c>
      <c r="B16" s="2" t="s">
        <v>57</v>
      </c>
      <c r="C16" s="2" t="s">
        <v>37</v>
      </c>
      <c r="D16" s="2">
        <v>10</v>
      </c>
      <c r="E16" s="2" t="s">
        <v>38</v>
      </c>
      <c r="F16" s="2" t="s">
        <v>42</v>
      </c>
      <c r="G16" s="2" t="s">
        <v>58</v>
      </c>
      <c r="I16" s="2" t="s">
        <v>59</v>
      </c>
      <c r="J16" s="2">
        <v>10</v>
      </c>
    </row>
    <row r="17" spans="1:11" s="2" customFormat="1">
      <c r="A17" s="2">
        <f t="shared" si="0"/>
        <v>16</v>
      </c>
      <c r="B17" s="2" t="s">
        <v>60</v>
      </c>
      <c r="C17" s="2" t="s">
        <v>37</v>
      </c>
      <c r="D17" s="2">
        <v>40</v>
      </c>
      <c r="E17" s="2" t="s">
        <v>41</v>
      </c>
      <c r="F17" s="2" t="s">
        <v>42</v>
      </c>
      <c r="G17" s="2" t="s">
        <v>61</v>
      </c>
      <c r="J17" s="2">
        <v>5</v>
      </c>
    </row>
    <row r="18" spans="1:11" s="2" customFormat="1">
      <c r="A18" s="2">
        <f t="shared" si="0"/>
        <v>17</v>
      </c>
      <c r="B18" s="2" t="s">
        <v>62</v>
      </c>
      <c r="C18" s="2" t="s">
        <v>37</v>
      </c>
      <c r="D18" s="2">
        <v>15</v>
      </c>
      <c r="E18" s="2" t="s">
        <v>41</v>
      </c>
      <c r="F18" s="2" t="s">
        <v>42</v>
      </c>
      <c r="G18" s="2" t="s">
        <v>63</v>
      </c>
      <c r="H18" s="2" t="s">
        <v>64</v>
      </c>
      <c r="I18" s="2" t="s">
        <v>65</v>
      </c>
      <c r="J18" s="2">
        <v>6</v>
      </c>
    </row>
    <row r="19" spans="1:11" s="2" customFormat="1" ht="29.25">
      <c r="A19" s="2">
        <f t="shared" si="0"/>
        <v>18</v>
      </c>
      <c r="B19" s="2" t="s">
        <v>66</v>
      </c>
      <c r="C19" s="2" t="s">
        <v>37</v>
      </c>
      <c r="D19" s="2">
        <v>15</v>
      </c>
      <c r="E19" s="2" t="s">
        <v>41</v>
      </c>
      <c r="F19" s="2" t="s">
        <v>42</v>
      </c>
      <c r="G19" s="3" t="s">
        <v>67</v>
      </c>
      <c r="I19" s="2" t="s">
        <v>68</v>
      </c>
      <c r="J19" s="2">
        <v>8</v>
      </c>
    </row>
    <row r="20" spans="1:11" s="2" customFormat="1">
      <c r="A20" s="2">
        <f t="shared" si="0"/>
        <v>19</v>
      </c>
      <c r="B20" s="2" t="s">
        <v>69</v>
      </c>
      <c r="C20" s="2" t="s">
        <v>37</v>
      </c>
      <c r="D20" s="2">
        <v>50</v>
      </c>
      <c r="E20" s="2" t="s">
        <v>41</v>
      </c>
      <c r="F20" s="2" t="s">
        <v>23</v>
      </c>
      <c r="G20" s="2" t="s">
        <v>70</v>
      </c>
    </row>
    <row r="21" spans="1:11" s="2" customFormat="1">
      <c r="A21" s="2">
        <f t="shared" si="0"/>
        <v>20</v>
      </c>
      <c r="B21" s="2" t="s">
        <v>71</v>
      </c>
      <c r="C21" s="2" t="s">
        <v>37</v>
      </c>
      <c r="D21" s="2">
        <v>1</v>
      </c>
      <c r="E21" s="2" t="s">
        <v>38</v>
      </c>
      <c r="F21" s="2" t="s">
        <v>42</v>
      </c>
      <c r="G21" s="2" t="s">
        <v>72</v>
      </c>
      <c r="K21" s="2">
        <v>0</v>
      </c>
    </row>
    <row r="22" spans="1:11" s="2" customFormat="1">
      <c r="A22" s="2">
        <f t="shared" si="0"/>
        <v>21</v>
      </c>
      <c r="B22" s="2" t="s">
        <v>73</v>
      </c>
      <c r="C22" s="2" t="s">
        <v>74</v>
      </c>
      <c r="D22" s="2">
        <v>1</v>
      </c>
      <c r="E22" s="2" t="s">
        <v>41</v>
      </c>
      <c r="F22" s="2" t="s">
        <v>42</v>
      </c>
      <c r="G22" s="2" t="s">
        <v>75</v>
      </c>
      <c r="K22" s="2">
        <v>1</v>
      </c>
    </row>
    <row r="23" spans="1:11" s="2" customFormat="1">
      <c r="A23" s="2">
        <f t="shared" si="0"/>
        <v>22</v>
      </c>
      <c r="B23" s="2" t="s">
        <v>76</v>
      </c>
      <c r="C23" s="2" t="s">
        <v>77</v>
      </c>
      <c r="D23" s="2">
        <v>8</v>
      </c>
      <c r="E23" s="2" t="s">
        <v>41</v>
      </c>
      <c r="F23" s="2" t="s">
        <v>42</v>
      </c>
      <c r="G23" s="2" t="s">
        <v>78</v>
      </c>
      <c r="I23" s="2" t="s">
        <v>79</v>
      </c>
    </row>
    <row r="24" spans="1:11" s="2" customFormat="1">
      <c r="A24" s="2">
        <f t="shared" si="0"/>
        <v>23</v>
      </c>
      <c r="B24" s="2" t="s">
        <v>80</v>
      </c>
      <c r="C24" s="2" t="s">
        <v>81</v>
      </c>
      <c r="D24" s="2">
        <v>10.199999999999999</v>
      </c>
      <c r="E24" s="2" t="s">
        <v>41</v>
      </c>
      <c r="F24" s="2" t="s">
        <v>42</v>
      </c>
      <c r="I24" s="4" t="s">
        <v>82</v>
      </c>
      <c r="K24" s="2">
        <v>0</v>
      </c>
    </row>
    <row r="25" spans="1:11" s="2" customFormat="1">
      <c r="A25" s="2">
        <f t="shared" si="0"/>
        <v>24</v>
      </c>
      <c r="B25" s="2" t="s">
        <v>83</v>
      </c>
      <c r="C25" s="2" t="s">
        <v>37</v>
      </c>
      <c r="D25" s="2">
        <v>256</v>
      </c>
      <c r="E25" s="2" t="s">
        <v>38</v>
      </c>
      <c r="F25" s="2" t="s">
        <v>42</v>
      </c>
      <c r="G25" s="2" t="s">
        <v>84</v>
      </c>
    </row>
    <row r="26" spans="1:11" s="2" customFormat="1">
      <c r="A26" s="2">
        <v>25</v>
      </c>
      <c r="B26" s="2" t="s">
        <v>85</v>
      </c>
      <c r="C26" s="2" t="s">
        <v>77</v>
      </c>
      <c r="D26" s="2">
        <v>8</v>
      </c>
      <c r="F26" s="2" t="s">
        <v>23</v>
      </c>
      <c r="G26" s="2" t="s">
        <v>86</v>
      </c>
      <c r="I26" s="2" t="s">
        <v>79</v>
      </c>
    </row>
    <row r="27" spans="1:11" s="2" customFormat="1">
      <c r="B27" s="2" t="s">
        <v>87</v>
      </c>
      <c r="C27" s="2" t="s">
        <v>88</v>
      </c>
      <c r="G27" s="2" t="s">
        <v>89</v>
      </c>
    </row>
    <row r="28" spans="1:11" s="2" customFormat="1"/>
    <row r="29" spans="1:11" s="2" customFormat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53CC3-9C5B-4DDD-892D-D950F6574D63}">
  <dimension ref="A1:N7"/>
  <sheetViews>
    <sheetView workbookViewId="0">
      <selection activeCell="F14" sqref="F14"/>
    </sheetView>
  </sheetViews>
  <sheetFormatPr defaultRowHeight="15"/>
  <cols>
    <col min="2" max="2" width="14.140625" customWidth="1"/>
    <col min="6" max="6" width="17.140625" customWidth="1"/>
    <col min="7" max="7" width="33.85546875" customWidth="1"/>
    <col min="9" max="9" width="20.28515625" customWidth="1"/>
    <col min="10" max="10" width="16.42578125" customWidth="1"/>
    <col min="13" max="13" width="19.42578125" customWidth="1"/>
  </cols>
  <sheetData>
    <row r="1" spans="1:14">
      <c r="A1" t="s">
        <v>90</v>
      </c>
    </row>
    <row r="2" spans="1:14" ht="57.75">
      <c r="A2" s="6" t="s">
        <v>10</v>
      </c>
      <c r="B2" s="6" t="s">
        <v>11</v>
      </c>
      <c r="C2" s="6" t="s">
        <v>12</v>
      </c>
      <c r="D2" s="6" t="s">
        <v>13</v>
      </c>
      <c r="E2" s="6" t="s">
        <v>14</v>
      </c>
      <c r="F2" s="7" t="s">
        <v>15</v>
      </c>
      <c r="G2" s="6" t="s">
        <v>16</v>
      </c>
      <c r="H2" s="6" t="s">
        <v>17</v>
      </c>
      <c r="I2" s="6" t="s">
        <v>18</v>
      </c>
      <c r="J2" s="6" t="s">
        <v>19</v>
      </c>
      <c r="K2" s="6" t="s">
        <v>20</v>
      </c>
      <c r="L2" s="6" t="s">
        <v>91</v>
      </c>
      <c r="M2" s="6"/>
      <c r="N2" s="6"/>
    </row>
    <row r="3" spans="1:14">
      <c r="A3" s="2">
        <v>1</v>
      </c>
      <c r="B3" s="2" t="s">
        <v>62</v>
      </c>
      <c r="C3" s="2" t="s">
        <v>37</v>
      </c>
      <c r="D3" s="2">
        <v>15</v>
      </c>
      <c r="E3" s="2" t="s">
        <v>41</v>
      </c>
      <c r="F3" s="2" t="s">
        <v>42</v>
      </c>
      <c r="G3" s="2" t="s">
        <v>63</v>
      </c>
    </row>
    <row r="4" spans="1:14">
      <c r="A4">
        <v>2</v>
      </c>
      <c r="B4" t="s">
        <v>92</v>
      </c>
      <c r="C4" t="s">
        <v>37</v>
      </c>
      <c r="D4">
        <v>60</v>
      </c>
      <c r="H4" t="s">
        <v>64</v>
      </c>
    </row>
    <row r="5" spans="1:14">
      <c r="A5">
        <v>3</v>
      </c>
      <c r="B5" t="s">
        <v>93</v>
      </c>
      <c r="C5" s="2" t="s">
        <v>94</v>
      </c>
      <c r="D5" s="2">
        <v>14</v>
      </c>
      <c r="E5" s="2" t="s">
        <v>38</v>
      </c>
      <c r="F5" s="2" t="s">
        <v>23</v>
      </c>
    </row>
    <row r="6" spans="1:14">
      <c r="A6">
        <v>4</v>
      </c>
      <c r="B6" t="s">
        <v>95</v>
      </c>
      <c r="C6" t="s">
        <v>94</v>
      </c>
      <c r="D6" s="2">
        <v>14</v>
      </c>
      <c r="E6" s="2" t="s">
        <v>38</v>
      </c>
      <c r="F6" s="2" t="s">
        <v>23</v>
      </c>
    </row>
    <row r="7" spans="1:14">
      <c r="A7">
        <v>5</v>
      </c>
      <c r="B7" t="s">
        <v>96</v>
      </c>
      <c r="C7" t="s">
        <v>37</v>
      </c>
      <c r="D7">
        <v>32</v>
      </c>
      <c r="G7" t="s">
        <v>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339D6-BBC5-41B2-9605-081ABFE9C3F7}">
  <dimension ref="A1:O12"/>
  <sheetViews>
    <sheetView workbookViewId="0">
      <selection activeCell="I13" sqref="I13"/>
    </sheetView>
  </sheetViews>
  <sheetFormatPr defaultRowHeight="15"/>
  <cols>
    <col min="2" max="2" width="15.28515625" customWidth="1"/>
    <col min="6" max="6" width="13.5703125" customWidth="1"/>
    <col min="7" max="7" width="33.42578125" customWidth="1"/>
    <col min="9" max="9" width="13.85546875" customWidth="1"/>
    <col min="10" max="10" width="15" customWidth="1"/>
    <col min="12" max="12" width="30.140625" customWidth="1"/>
  </cols>
  <sheetData>
    <row r="1" spans="1:15">
      <c r="A1" t="s">
        <v>98</v>
      </c>
    </row>
    <row r="4" spans="1:15" ht="57.75">
      <c r="A4" s="6" t="s">
        <v>10</v>
      </c>
      <c r="B4" s="6" t="s">
        <v>11</v>
      </c>
      <c r="C4" s="6" t="s">
        <v>12</v>
      </c>
      <c r="D4" s="6" t="s">
        <v>13</v>
      </c>
      <c r="E4" s="6" t="s">
        <v>14</v>
      </c>
      <c r="F4" s="7" t="s">
        <v>15</v>
      </c>
      <c r="G4" s="6" t="s">
        <v>16</v>
      </c>
      <c r="H4" s="6" t="s">
        <v>17</v>
      </c>
      <c r="I4" s="6" t="s">
        <v>18</v>
      </c>
      <c r="J4" s="6" t="s">
        <v>19</v>
      </c>
      <c r="K4" s="6" t="s">
        <v>20</v>
      </c>
      <c r="L4" s="6" t="s">
        <v>91</v>
      </c>
      <c r="M4" s="6"/>
      <c r="N4" s="6"/>
      <c r="O4" s="6"/>
    </row>
    <row r="5" spans="1:15" s="10" customFormat="1">
      <c r="A5" s="2">
        <v>1</v>
      </c>
      <c r="B5" s="8" t="s">
        <v>99</v>
      </c>
      <c r="C5" s="8" t="s">
        <v>100</v>
      </c>
      <c r="D5" s="8">
        <v>8</v>
      </c>
      <c r="E5" s="8" t="s">
        <v>41</v>
      </c>
      <c r="F5" s="9" t="s">
        <v>23</v>
      </c>
      <c r="G5" s="8" t="s">
        <v>101</v>
      </c>
      <c r="H5" s="8"/>
      <c r="I5" s="8"/>
      <c r="J5" s="8"/>
      <c r="K5" s="8"/>
      <c r="L5" s="8"/>
      <c r="M5" s="8"/>
      <c r="N5" s="8"/>
      <c r="O5" s="8"/>
    </row>
    <row r="6" spans="1:15">
      <c r="A6" s="2">
        <v>2</v>
      </c>
      <c r="B6" s="2" t="s">
        <v>62</v>
      </c>
      <c r="C6" s="2" t="s">
        <v>37</v>
      </c>
      <c r="D6" s="2">
        <v>15</v>
      </c>
      <c r="E6" s="2" t="s">
        <v>41</v>
      </c>
      <c r="F6" s="2" t="s">
        <v>23</v>
      </c>
      <c r="G6" s="2" t="s">
        <v>102</v>
      </c>
      <c r="H6" s="2"/>
      <c r="I6" s="2"/>
      <c r="J6" s="2"/>
      <c r="K6" s="2"/>
      <c r="L6" s="2"/>
      <c r="M6" s="2"/>
      <c r="N6" s="2"/>
      <c r="O6" s="2"/>
    </row>
    <row r="7" spans="1:15">
      <c r="A7" s="2">
        <f>A6+1</f>
        <v>3</v>
      </c>
      <c r="B7" s="2" t="s">
        <v>103</v>
      </c>
      <c r="C7" s="2" t="s">
        <v>94</v>
      </c>
      <c r="D7" s="2">
        <v>14</v>
      </c>
      <c r="E7" s="2" t="s">
        <v>41</v>
      </c>
      <c r="F7" s="2" t="s">
        <v>23</v>
      </c>
      <c r="G7" s="2" t="s">
        <v>104</v>
      </c>
      <c r="H7" s="2"/>
      <c r="I7" s="2"/>
      <c r="J7" s="2"/>
      <c r="K7" s="2"/>
      <c r="L7" s="2"/>
      <c r="M7" s="2"/>
      <c r="N7" s="2"/>
      <c r="O7" s="2"/>
    </row>
    <row r="8" spans="1:15">
      <c r="A8" s="2">
        <f t="shared" ref="A8:A9" si="0">A7+1</f>
        <v>4</v>
      </c>
      <c r="B8" s="2" t="s">
        <v>105</v>
      </c>
      <c r="C8" s="2" t="s">
        <v>37</v>
      </c>
      <c r="D8" s="2">
        <v>60</v>
      </c>
      <c r="E8" s="2" t="s">
        <v>41</v>
      </c>
      <c r="F8" s="2" t="s">
        <v>23</v>
      </c>
      <c r="G8" s="2" t="s">
        <v>106</v>
      </c>
      <c r="H8" s="2"/>
      <c r="I8" s="2"/>
      <c r="J8" s="2"/>
      <c r="K8" s="2"/>
      <c r="L8" s="2"/>
      <c r="M8" s="2"/>
      <c r="N8" s="2"/>
      <c r="O8" s="2"/>
    </row>
    <row r="9" spans="1:15">
      <c r="A9" s="2">
        <f t="shared" si="0"/>
        <v>5</v>
      </c>
      <c r="B9" s="2" t="s">
        <v>107</v>
      </c>
      <c r="C9" s="2" t="s">
        <v>37</v>
      </c>
      <c r="D9" s="2">
        <v>40</v>
      </c>
      <c r="E9" s="2" t="s">
        <v>41</v>
      </c>
      <c r="F9" s="2" t="s">
        <v>23</v>
      </c>
      <c r="G9" s="2" t="s">
        <v>108</v>
      </c>
      <c r="H9" s="2"/>
      <c r="I9" s="2"/>
      <c r="J9" s="2"/>
      <c r="K9" s="2"/>
      <c r="L9" s="2"/>
      <c r="M9" s="2"/>
      <c r="N9" s="2"/>
      <c r="O9" s="2"/>
    </row>
    <row r="10" spans="1:15">
      <c r="A10" s="2">
        <v>5</v>
      </c>
      <c r="B10" s="2" t="s">
        <v>109</v>
      </c>
      <c r="C10" s="2" t="s">
        <v>37</v>
      </c>
      <c r="D10" s="2">
        <v>15</v>
      </c>
      <c r="E10" s="2"/>
      <c r="F10" s="2"/>
      <c r="G10" s="2" t="s">
        <v>110</v>
      </c>
      <c r="H10" s="2"/>
      <c r="I10" s="2"/>
      <c r="J10" s="2"/>
      <c r="K10" s="2"/>
      <c r="L10" s="2"/>
      <c r="M10" s="2"/>
      <c r="N10" s="2"/>
      <c r="O10" s="2"/>
    </row>
    <row r="11" spans="1:1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295E7-B271-4E4E-BFC8-5FA6B3293DD8}">
  <dimension ref="A1"/>
  <sheetViews>
    <sheetView workbookViewId="0">
      <selection activeCell="D8" sqref="D8"/>
    </sheetView>
  </sheetViews>
  <sheetFormatPr defaultRowHeight="15"/>
  <sheetData>
    <row r="1" spans="1:1">
      <c r="A1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2024-02-28T13:50:00Z</dcterms:created>
  <dcterms:modified xsi:type="dcterms:W3CDTF">2026-06-14T16:31:10Z</dcterms:modified>
  <cp:category/>
  <cp:contentStatus/>
</cp:coreProperties>
</file>